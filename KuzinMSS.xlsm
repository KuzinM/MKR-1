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28800" windowHeight="124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1" l="1"/>
  <c r="K12" i="1"/>
  <c r="AI15" i="1" l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C5" i="1"/>
  <c r="AJ13" i="1"/>
  <c r="F13" i="1"/>
  <c r="H12" i="1"/>
  <c r="I12" i="1"/>
  <c r="J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<sst xmlns="http://schemas.openxmlformats.org/spreadsheetml/2006/main" count="12" uniqueCount="11">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</sst>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987638794043124E-2"/>
          <c:y val="1.8392696394868027E-2"/>
          <c:w val="0.89355083131551394"/>
          <c:h val="0.8854809101451324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Лист1!$G$13:$AI$13</c:f>
              <c:numCache>
                <c:formatCode>General</c:formatCode>
                <c:ptCount val="29"/>
                <c:pt idx="0">
                  <c:v>278.92485458299461</c:v>
                </c:pt>
                <c:pt idx="1">
                  <c:v>257.84970916598911</c:v>
                </c:pt>
                <c:pt idx="2">
                  <c:v>237.53355869663861</c:v>
                </c:pt>
                <c:pt idx="3">
                  <c:v>217.21740822728796</c:v>
                </c:pt>
                <c:pt idx="4">
                  <c:v>198.3599265680223</c:v>
                </c:pt>
                <c:pt idx="5">
                  <c:v>179.50244490875662</c:v>
                </c:pt>
                <c:pt idx="6">
                  <c:v>162.69324341661451</c:v>
                </c:pt>
                <c:pt idx="7">
                  <c:v>145.8840419244724</c:v>
                </c:pt>
                <c:pt idx="8">
                  <c:v>131.56710706262766</c:v>
                </c:pt>
                <c:pt idx="9">
                  <c:v>117.25017220078294</c:v>
                </c:pt>
                <c:pt idx="10">
                  <c:v>105.70670973787173</c:v>
                </c:pt>
                <c:pt idx="11">
                  <c:v>94.16324727496054</c:v>
                </c:pt>
                <c:pt idx="12">
                  <c:v>85.512371845847568</c:v>
                </c:pt>
                <c:pt idx="13">
                  <c:v>76.86149641673461</c:v>
                </c:pt>
                <c:pt idx="14">
                  <c:v>71.075030928121379</c:v>
                </c:pt>
                <c:pt idx="15">
                  <c:v>65.288565439508147</c:v>
                </c:pt>
                <c:pt idx="16">
                  <c:v>62.214411473368884</c:v>
                </c:pt>
                <c:pt idx="17">
                  <c:v>59.140257507229634</c:v>
                </c:pt>
                <c:pt idx="18">
                  <c:v>58.52863075261709</c:v>
                </c:pt>
                <c:pt idx="19">
                  <c:v>57.917003998004546</c:v>
                </c:pt>
                <c:pt idx="20">
                  <c:v>59.445040563376047</c:v>
                </c:pt>
                <c:pt idx="21">
                  <c:v>60.973077128747548</c:v>
                </c:pt>
                <c:pt idx="22">
                  <c:v>64.265277564506732</c:v>
                </c:pt>
                <c:pt idx="23">
                  <c:v>67.557478000265917</c:v>
                </c:pt>
                <c:pt idx="24">
                  <c:v>72.201425148335744</c:v>
                </c:pt>
                <c:pt idx="25">
                  <c:v>76.845372296405586</c:v>
                </c:pt>
                <c:pt idx="26">
                  <c:v>82.403553217509312</c:v>
                </c:pt>
                <c:pt idx="27">
                  <c:v>87.961734138613053</c:v>
                </c:pt>
                <c:pt idx="28">
                  <c:v>93.980867069306527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775384"/>
        <c:axId val="453772248"/>
      </c:scatterChart>
      <c:valAx>
        <c:axId val="453775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L[m]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2248"/>
        <c:crosses val="autoZero"/>
        <c:crossBetween val="midCat"/>
      </c:valAx>
      <c:valAx>
        <c:axId val="453772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Ti[C]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3775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353786</xdr:colOff>
      <xdr:row>17</xdr:row>
      <xdr:rowOff>6256</xdr:rowOff>
    </xdr:from>
    <xdr:to>
      <xdr:col>18</xdr:col>
      <xdr:colOff>422088</xdr:colOff>
      <xdr:row>36</xdr:row>
      <xdr:rowOff>179294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zoomScale="70" zoomScaleNormal="70" workbookViewId="0">
      <selection activeCell="W20" sqref="W20"/>
    </sheetView>
  </sheetViews>
  <sheetFormatPr defaultRowHeight="15" x14ac:dyDescent="0.25"/>
  <cols>
    <col min="3" max="3" width="9.85546875" customWidth="1"/>
  </cols>
  <sheetData>
    <row r="3" spans="2:36" x14ac:dyDescent="0.25">
      <c r="B3" s="2" t="s">
        <v>0</v>
      </c>
      <c r="C3" s="2">
        <v>0.1</v>
      </c>
      <c r="H3" s="5"/>
      <c r="I3" s="5"/>
      <c r="J3" s="5"/>
      <c r="L3" s="5"/>
      <c r="M3" s="5"/>
      <c r="N3" s="5"/>
    </row>
    <row r="4" spans="2:36" x14ac:dyDescent="0.25">
      <c r="B4" s="2" t="s">
        <v>1</v>
      </c>
      <c r="C4" s="2">
        <f>C3/30</f>
        <v>3.3333333333333335E-3</v>
      </c>
      <c r="H4" s="5"/>
      <c r="I4" s="5"/>
      <c r="J4" s="5"/>
      <c r="L4" s="5"/>
      <c r="M4" s="5"/>
      <c r="N4" s="5"/>
    </row>
    <row r="5" spans="2:36" x14ac:dyDescent="0.25">
      <c r="B5" s="2" t="s">
        <v>2</v>
      </c>
      <c r="C5" s="2">
        <f>(C9*C8*C4^2)/(2*C10)</f>
        <v>0.4333333333333334</v>
      </c>
      <c r="H5" s="5"/>
      <c r="I5" s="5"/>
      <c r="J5" s="5"/>
      <c r="L5" s="5"/>
      <c r="M5" s="5"/>
      <c r="N5" s="5"/>
    </row>
    <row r="6" spans="2:36" x14ac:dyDescent="0.25">
      <c r="B6" s="2" t="s">
        <v>3</v>
      </c>
      <c r="C6" s="2">
        <v>60</v>
      </c>
      <c r="D6">
        <v>60.43333333333333</v>
      </c>
      <c r="H6" s="5"/>
      <c r="I6" s="5"/>
      <c r="J6" s="5"/>
      <c r="L6" s="5"/>
      <c r="M6" s="5"/>
      <c r="N6" s="5"/>
    </row>
    <row r="7" spans="2:36" x14ac:dyDescent="0.25">
      <c r="B7" s="1"/>
      <c r="C7" s="1"/>
      <c r="L7" s="5"/>
      <c r="M7" s="5"/>
      <c r="N7" s="5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>J12+$C$4</f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>
        <v>278.92485458299461</v>
      </c>
      <c r="H13">
        <v>257.84970916598911</v>
      </c>
      <c r="I13">
        <v>237.53355869663861</v>
      </c>
      <c r="J13">
        <v>217.21740822728796</v>
      </c>
      <c r="K13">
        <v>198.3599265680223</v>
      </c>
      <c r="L13">
        <v>179.50244490875662</v>
      </c>
      <c r="M13">
        <v>162.69324341661451</v>
      </c>
      <c r="N13">
        <v>145.8840419244724</v>
      </c>
      <c r="O13">
        <v>131.56710706262766</v>
      </c>
      <c r="P13">
        <v>117.25017220078294</v>
      </c>
      <c r="Q13">
        <v>105.70670973787173</v>
      </c>
      <c r="R13">
        <v>94.16324727496054</v>
      </c>
      <c r="S13">
        <v>85.512371845847568</v>
      </c>
      <c r="T13">
        <v>76.86149641673461</v>
      </c>
      <c r="U13">
        <v>71.075030928121379</v>
      </c>
      <c r="V13">
        <v>65.288565439508147</v>
      </c>
      <c r="W13">
        <v>62.214411473368884</v>
      </c>
      <c r="X13">
        <v>59.140257507229634</v>
      </c>
      <c r="Y13">
        <v>58.52863075261709</v>
      </c>
      <c r="Z13">
        <v>57.917003998004546</v>
      </c>
      <c r="AA13">
        <v>59.445040563376047</v>
      </c>
      <c r="AB13">
        <v>60.973077128747548</v>
      </c>
      <c r="AC13">
        <v>64.265277564506732</v>
      </c>
      <c r="AD13">
        <v>67.557478000265917</v>
      </c>
      <c r="AE13">
        <v>72.201425148335744</v>
      </c>
      <c r="AF13">
        <v>76.845372296405586</v>
      </c>
      <c r="AG13">
        <v>82.403553217509312</v>
      </c>
      <c r="AH13">
        <v>87.961734138613053</v>
      </c>
      <c r="AI13">
        <v>93.980867069306527</v>
      </c>
      <c r="AJ13" s="1">
        <f>C13</f>
        <v>100</v>
      </c>
    </row>
    <row r="15" spans="2:36" x14ac:dyDescent="0.25">
      <c r="E15" t="s">
        <v>10</v>
      </c>
      <c r="G15">
        <f>G13+(($C$10*$C$5)/($C$9*$C$8))*((H13-2*G13+F13)/($C$4^2))</f>
        <v>278.92485458299456</v>
      </c>
      <c r="H15">
        <f t="shared" ref="H15:AI15" si="1">H13+(($C$10*$C$5)/($C$9*$C$8))*((I13-2*H13+G13)/($C$4^2))</f>
        <v>258.2292066398166</v>
      </c>
      <c r="I15">
        <f t="shared" si="1"/>
        <v>237.53355869663855</v>
      </c>
      <c r="J15">
        <f t="shared" si="1"/>
        <v>217.94674263233046</v>
      </c>
      <c r="K15">
        <f t="shared" si="1"/>
        <v>198.35992656802227</v>
      </c>
      <c r="L15">
        <f t="shared" si="1"/>
        <v>180.52658499231842</v>
      </c>
      <c r="M15">
        <f t="shared" si="1"/>
        <v>162.69324341661451</v>
      </c>
      <c r="N15">
        <f t="shared" si="1"/>
        <v>147.13017523962108</v>
      </c>
      <c r="O15">
        <f t="shared" si="1"/>
        <v>131.56710706262766</v>
      </c>
      <c r="P15">
        <f t="shared" si="1"/>
        <v>118.63690840024969</v>
      </c>
      <c r="Q15">
        <f t="shared" si="1"/>
        <v>105.70670973787173</v>
      </c>
      <c r="R15">
        <f t="shared" si="1"/>
        <v>95.609540791859644</v>
      </c>
      <c r="S15">
        <f t="shared" si="1"/>
        <v>85.512371845847582</v>
      </c>
      <c r="T15">
        <f t="shared" si="1"/>
        <v>78.29370138698448</v>
      </c>
      <c r="U15">
        <f t="shared" si="1"/>
        <v>71.075030928121379</v>
      </c>
      <c r="V15">
        <f t="shared" si="1"/>
        <v>66.644721200745124</v>
      </c>
      <c r="W15">
        <f t="shared" si="1"/>
        <v>62.214411473368891</v>
      </c>
      <c r="X15">
        <f t="shared" si="1"/>
        <v>60.371521112992987</v>
      </c>
      <c r="Y15">
        <f t="shared" si="1"/>
        <v>58.52863075261709</v>
      </c>
      <c r="Z15">
        <f t="shared" si="1"/>
        <v>58.986835657996565</v>
      </c>
      <c r="AA15">
        <f t="shared" si="1"/>
        <v>59.445040563376047</v>
      </c>
      <c r="AB15">
        <f t="shared" si="1"/>
        <v>61.855159063941386</v>
      </c>
      <c r="AC15">
        <f t="shared" si="1"/>
        <v>64.265277564506732</v>
      </c>
      <c r="AD15">
        <f t="shared" si="1"/>
        <v>68.233351356421238</v>
      </c>
      <c r="AE15">
        <f t="shared" si="1"/>
        <v>72.201425148335744</v>
      </c>
      <c r="AF15">
        <f t="shared" si="1"/>
        <v>77.302489182922528</v>
      </c>
      <c r="AG15">
        <f t="shared" si="1"/>
        <v>82.403553217509312</v>
      </c>
      <c r="AH15">
        <f t="shared" si="1"/>
        <v>88.19221014340792</v>
      </c>
      <c r="AI15">
        <f t="shared" si="1"/>
        <v>93.980867069306527</v>
      </c>
    </row>
  </sheetData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Михаил</cp:lastModifiedBy>
  <dcterms:created xsi:type="dcterms:W3CDTF">2021-02-28T09:47:32Z</dcterms:created>
  <dcterms:modified xsi:type="dcterms:W3CDTF">2021-02-28T18:18:05Z</dcterms:modified>
</cp:coreProperties>
</file>